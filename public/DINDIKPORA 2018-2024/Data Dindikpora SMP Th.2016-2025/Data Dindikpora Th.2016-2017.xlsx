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P Th.2016-2025\"/>
    </mc:Choice>
  </mc:AlternateContent>
  <xr:revisionPtr revIDLastSave="0" documentId="8_{2DB1DD2C-FACF-4A2D-91EC-6C7F49C736F1}" xr6:coauthVersionLast="47" xr6:coauthVersionMax="47" xr10:uidLastSave="{00000000-0000-0000-0000-000000000000}"/>
  <bookViews>
    <workbookView xWindow="-120" yWindow="-120" windowWidth="20730" windowHeight="11160" xr2:uid="{6C6DDA4F-4F61-4B22-B156-DF2C64F60AAF}"/>
  </bookViews>
  <sheets>
    <sheet name="4.1.5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F29" i="1"/>
  <c r="C29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H8" i="1"/>
  <c r="E8" i="1"/>
</calcChain>
</file>

<file path=xl/sharedStrings.xml><?xml version="1.0" encoding="utf-8"?>
<sst xmlns="http://schemas.openxmlformats.org/spreadsheetml/2006/main" count="40" uniqueCount="33">
  <si>
    <t>Tabel 4.1.5</t>
  </si>
  <si>
    <t>Tahun Ajaran 2016/2017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</si>
  <si>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</si>
  <si>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</si>
  <si>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</si>
  <si>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</si>
  <si>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</si>
  <si>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</si>
  <si>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</si>
  <si>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</si>
  <si>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</si>
  <si>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</si>
  <si>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</si>
  <si>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</si>
  <si>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</si>
  <si>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</si>
  <si>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</si>
  <si>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</si>
  <si>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</si>
  <si>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</si>
  <si>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</si>
  <si>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</si>
  <si>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</si>
  <si>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</si>
  <si>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</si>
  <si>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</si>
  <si>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</si>
  <si>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</si>
  <si>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</si>
  <si>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</si>
  <si>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 Jumlah guru termasuk kepala sekolah dan guru</t>
  </si>
  <si>
    <t>Sumber:</t>
  </si>
  <si>
    <t>Dinas Pendidikan, Kepemudaan dan Olahraga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</si>
</sst>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8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  <scheme val="minor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0" borderId="4" xfId="0" applyNumberFormat="1" applyFont="1" applyBorder="1"/>
    <xf numFmtId="3" fontId="4" fillId="0" borderId="4" xfId="0" applyNumberFormat="1" applyFont="1" applyBorder="1"/>
    <xf numFmtId="3" fontId="1" fillId="0" borderId="4" xfId="0" applyNumberFormat="1" applyFont="1" applyBorder="1"/>
    <xf numFmtId="3" fontId="3" fillId="0" borderId="4" xfId="0" applyNumberFormat="1" applyFont="1" applyBorder="1"/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5 (KOR)-style" pivot="0" count="2" xr9:uid="{0B991408-7524-4169-8ECF-62D286CA0D1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52B0-2348-48E0-8833-CB533249959D}">
  <sheetPr>
    <tabColor rgb="FFFF0000"/>
  </sheetPr>
  <dimension ref="A1:K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" sqref="L1:CE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</cols>
  <sheetData>
    <row r="1" spans="1:11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2"/>
      <c r="B2" s="2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25">
      <c r="A4" s="1"/>
      <c r="B4" s="1"/>
      <c r="C4" s="3" t="s">
        <v>1</v>
      </c>
      <c r="D4" s="4"/>
      <c r="E4" s="4"/>
      <c r="F4" s="4"/>
      <c r="G4" s="4"/>
      <c r="H4" s="4"/>
      <c r="I4" s="4"/>
      <c r="J4" s="4"/>
      <c r="K4" s="5"/>
    </row>
    <row r="5" spans="1:11" ht="15.75" customHeight="1" x14ac:dyDescent="0.25">
      <c r="A5" s="1"/>
      <c r="B5" s="1"/>
      <c r="C5" s="3" t="s">
        <v>2</v>
      </c>
      <c r="D5" s="4"/>
      <c r="E5" s="5"/>
      <c r="F5" s="6" t="s">
        <v>3</v>
      </c>
      <c r="G5" s="4"/>
      <c r="H5" s="5"/>
      <c r="I5" s="3" t="s">
        <v>4</v>
      </c>
      <c r="J5" s="4"/>
      <c r="K5" s="5"/>
    </row>
    <row r="6" spans="1:11" ht="15.75" customHeight="1" x14ac:dyDescent="0.2">
      <c r="A6" s="7" t="s">
        <v>5</v>
      </c>
      <c r="B6" s="5"/>
      <c r="C6" s="8" t="s">
        <v>6</v>
      </c>
      <c r="D6" s="8" t="s">
        <v>7</v>
      </c>
      <c r="E6" s="8" t="s">
        <v>8</v>
      </c>
      <c r="F6" s="8" t="s">
        <v>6</v>
      </c>
      <c r="G6" s="8" t="s">
        <v>7</v>
      </c>
      <c r="H6" s="8" t="s">
        <v>8</v>
      </c>
      <c r="I6" s="8" t="s">
        <v>6</v>
      </c>
      <c r="J6" s="8" t="s">
        <v>7</v>
      </c>
      <c r="K6" s="8" t="s">
        <v>8</v>
      </c>
    </row>
    <row r="7" spans="1:11" ht="15.75" customHeight="1" x14ac:dyDescent="0.25">
      <c r="A7" s="9">
        <v>1</v>
      </c>
      <c r="B7" s="5"/>
      <c r="C7" s="10">
        <v>2</v>
      </c>
      <c r="D7" s="10">
        <v>3</v>
      </c>
      <c r="E7" s="10">
        <v>4</v>
      </c>
      <c r="F7" s="10">
        <v>2</v>
      </c>
      <c r="G7" s="10">
        <v>3</v>
      </c>
      <c r="H7" s="10">
        <v>4</v>
      </c>
      <c r="I7" s="10">
        <v>2</v>
      </c>
      <c r="J7" s="10">
        <v>3</v>
      </c>
      <c r="K7" s="10">
        <v>4</v>
      </c>
    </row>
    <row r="8" spans="1:11" ht="15.75" customHeight="1" x14ac:dyDescent="0.25">
      <c r="A8" s="11">
        <v>1</v>
      </c>
      <c r="B8" s="12" t="s">
        <v>9</v>
      </c>
      <c r="C8" s="13">
        <v>4</v>
      </c>
      <c r="D8" s="13">
        <v>1</v>
      </c>
      <c r="E8" s="14">
        <f t="shared" ref="E8:E27" si="0">SUM(C8:D8)</f>
        <v>5</v>
      </c>
      <c r="F8" s="13">
        <v>114</v>
      </c>
      <c r="G8" s="13">
        <v>6</v>
      </c>
      <c r="H8" s="14">
        <f t="shared" ref="H8:H27" si="1">SUM(F8:G8)</f>
        <v>120</v>
      </c>
      <c r="I8" s="13">
        <v>2175</v>
      </c>
      <c r="J8" s="13">
        <v>69</v>
      </c>
      <c r="K8" s="14">
        <f t="shared" ref="K8:K27" si="2">SUM(I8:J8)</f>
        <v>2244</v>
      </c>
    </row>
    <row r="9" spans="1:11" ht="15.75" customHeight="1" x14ac:dyDescent="0.25">
      <c r="A9" s="11">
        <v>2</v>
      </c>
      <c r="B9" s="12" t="s">
        <v>10</v>
      </c>
      <c r="C9" s="13">
        <v>3</v>
      </c>
      <c r="D9" s="13">
        <v>3</v>
      </c>
      <c r="E9" s="14">
        <f t="shared" si="0"/>
        <v>6</v>
      </c>
      <c r="F9" s="13">
        <v>101</v>
      </c>
      <c r="G9" s="13">
        <v>34</v>
      </c>
      <c r="H9" s="14">
        <f t="shared" si="1"/>
        <v>135</v>
      </c>
      <c r="I9" s="13">
        <v>1880</v>
      </c>
      <c r="J9" s="13">
        <v>427</v>
      </c>
      <c r="K9" s="14">
        <f t="shared" si="2"/>
        <v>2307</v>
      </c>
    </row>
    <row r="10" spans="1:11" ht="15.75" customHeight="1" x14ac:dyDescent="0.25">
      <c r="A10" s="11">
        <v>3</v>
      </c>
      <c r="B10" s="12" t="s">
        <v>11</v>
      </c>
      <c r="C10" s="13">
        <v>4</v>
      </c>
      <c r="D10" s="13">
        <v>2</v>
      </c>
      <c r="E10" s="14">
        <f t="shared" si="0"/>
        <v>6</v>
      </c>
      <c r="F10" s="13">
        <v>127</v>
      </c>
      <c r="G10" s="13">
        <v>15</v>
      </c>
      <c r="H10" s="14">
        <f t="shared" si="1"/>
        <v>142</v>
      </c>
      <c r="I10" s="13">
        <v>2280</v>
      </c>
      <c r="J10" s="13">
        <v>141</v>
      </c>
      <c r="K10" s="14">
        <f t="shared" si="2"/>
        <v>2421</v>
      </c>
    </row>
    <row r="11" spans="1:11" ht="15.75" customHeight="1" x14ac:dyDescent="0.25">
      <c r="A11" s="11">
        <v>4</v>
      </c>
      <c r="B11" s="12" t="s">
        <v>12</v>
      </c>
      <c r="C11" s="13">
        <v>6</v>
      </c>
      <c r="D11" s="13">
        <v>0</v>
      </c>
      <c r="E11" s="14">
        <f t="shared" si="0"/>
        <v>6</v>
      </c>
      <c r="F11" s="13">
        <v>124</v>
      </c>
      <c r="G11" s="13">
        <v>0</v>
      </c>
      <c r="H11" s="14">
        <f t="shared" si="1"/>
        <v>124</v>
      </c>
      <c r="I11" s="13">
        <v>1945</v>
      </c>
      <c r="J11" s="13">
        <v>0</v>
      </c>
      <c r="K11" s="14">
        <f t="shared" si="2"/>
        <v>1945</v>
      </c>
    </row>
    <row r="12" spans="1:11" ht="15.75" customHeight="1" x14ac:dyDescent="0.25">
      <c r="A12" s="11">
        <v>5</v>
      </c>
      <c r="B12" s="12" t="s">
        <v>13</v>
      </c>
      <c r="C12" s="13">
        <v>5</v>
      </c>
      <c r="D12" s="13">
        <v>0</v>
      </c>
      <c r="E12" s="14">
        <f t="shared" si="0"/>
        <v>5</v>
      </c>
      <c r="F12" s="13">
        <v>132</v>
      </c>
      <c r="G12" s="13">
        <v>0</v>
      </c>
      <c r="H12" s="14">
        <f t="shared" si="1"/>
        <v>132</v>
      </c>
      <c r="I12" s="13">
        <v>2221</v>
      </c>
      <c r="J12" s="13">
        <v>0</v>
      </c>
      <c r="K12" s="14">
        <f t="shared" si="2"/>
        <v>2221</v>
      </c>
    </row>
    <row r="13" spans="1:11" ht="15.75" customHeight="1" x14ac:dyDescent="0.25">
      <c r="A13" s="11">
        <v>6</v>
      </c>
      <c r="B13" s="12" t="s">
        <v>14</v>
      </c>
      <c r="C13" s="13">
        <v>5</v>
      </c>
      <c r="D13" s="13">
        <v>5</v>
      </c>
      <c r="E13" s="14">
        <f t="shared" si="0"/>
        <v>10</v>
      </c>
      <c r="F13" s="13">
        <v>157</v>
      </c>
      <c r="G13" s="13">
        <v>47</v>
      </c>
      <c r="H13" s="14">
        <f t="shared" si="1"/>
        <v>204</v>
      </c>
      <c r="I13" s="13">
        <v>2655</v>
      </c>
      <c r="J13" s="13">
        <v>574</v>
      </c>
      <c r="K13" s="14">
        <f t="shared" si="2"/>
        <v>3229</v>
      </c>
    </row>
    <row r="14" spans="1:11" ht="15.75" customHeight="1" x14ac:dyDescent="0.25">
      <c r="A14" s="11">
        <v>7</v>
      </c>
      <c r="B14" s="12" t="s">
        <v>15</v>
      </c>
      <c r="C14" s="13">
        <v>3</v>
      </c>
      <c r="D14" s="13">
        <v>1</v>
      </c>
      <c r="E14" s="14">
        <f t="shared" si="0"/>
        <v>4</v>
      </c>
      <c r="F14" s="13">
        <v>43</v>
      </c>
      <c r="G14" s="13">
        <v>9</v>
      </c>
      <c r="H14" s="14">
        <f t="shared" si="1"/>
        <v>52</v>
      </c>
      <c r="I14" s="13">
        <v>698</v>
      </c>
      <c r="J14" s="13">
        <v>97</v>
      </c>
      <c r="K14" s="14">
        <f t="shared" si="2"/>
        <v>795</v>
      </c>
    </row>
    <row r="15" spans="1:11" ht="15.75" customHeight="1" x14ac:dyDescent="0.25">
      <c r="A15" s="11">
        <v>8</v>
      </c>
      <c r="B15" s="12" t="s">
        <v>16</v>
      </c>
      <c r="C15" s="13">
        <v>2</v>
      </c>
      <c r="D15" s="13">
        <v>0</v>
      </c>
      <c r="E15" s="14">
        <f t="shared" si="0"/>
        <v>2</v>
      </c>
      <c r="F15" s="13">
        <v>31</v>
      </c>
      <c r="G15" s="13">
        <v>0</v>
      </c>
      <c r="H15" s="14">
        <f t="shared" si="1"/>
        <v>31</v>
      </c>
      <c r="I15" s="13">
        <v>425</v>
      </c>
      <c r="J15" s="13">
        <v>0</v>
      </c>
      <c r="K15" s="14">
        <f t="shared" si="2"/>
        <v>425</v>
      </c>
    </row>
    <row r="16" spans="1:11" ht="15.75" customHeight="1" x14ac:dyDescent="0.25">
      <c r="A16" s="11">
        <v>9</v>
      </c>
      <c r="B16" s="12" t="s">
        <v>17</v>
      </c>
      <c r="C16" s="13">
        <v>3</v>
      </c>
      <c r="D16" s="13">
        <v>2</v>
      </c>
      <c r="E16" s="14">
        <f t="shared" si="0"/>
        <v>5</v>
      </c>
      <c r="F16" s="13">
        <v>67</v>
      </c>
      <c r="G16" s="13">
        <v>29</v>
      </c>
      <c r="H16" s="14">
        <f t="shared" si="1"/>
        <v>96</v>
      </c>
      <c r="I16" s="13">
        <v>959</v>
      </c>
      <c r="J16" s="13">
        <v>306</v>
      </c>
      <c r="K16" s="14">
        <f t="shared" si="2"/>
        <v>1265</v>
      </c>
    </row>
    <row r="17" spans="1:11" ht="15.75" customHeight="1" x14ac:dyDescent="0.25">
      <c r="A17" s="11">
        <v>10</v>
      </c>
      <c r="B17" s="12" t="s">
        <v>18</v>
      </c>
      <c r="C17" s="13">
        <v>2</v>
      </c>
      <c r="D17" s="13">
        <v>2</v>
      </c>
      <c r="E17" s="14">
        <f t="shared" si="0"/>
        <v>4</v>
      </c>
      <c r="F17" s="13">
        <v>49</v>
      </c>
      <c r="G17" s="13">
        <v>14</v>
      </c>
      <c r="H17" s="14">
        <f t="shared" si="1"/>
        <v>63</v>
      </c>
      <c r="I17" s="13">
        <v>969</v>
      </c>
      <c r="J17" s="13">
        <v>223</v>
      </c>
      <c r="K17" s="14">
        <f t="shared" si="2"/>
        <v>1192</v>
      </c>
    </row>
    <row r="18" spans="1:11" ht="15.75" customHeight="1" x14ac:dyDescent="0.25">
      <c r="A18" s="11">
        <v>11</v>
      </c>
      <c r="B18" s="12" t="s">
        <v>19</v>
      </c>
      <c r="C18" s="13">
        <v>2</v>
      </c>
      <c r="D18" s="13">
        <v>2</v>
      </c>
      <c r="E18" s="14">
        <f t="shared" si="0"/>
        <v>4</v>
      </c>
      <c r="F18" s="13">
        <v>70</v>
      </c>
      <c r="G18" s="13">
        <v>26</v>
      </c>
      <c r="H18" s="14">
        <f t="shared" si="1"/>
        <v>96</v>
      </c>
      <c r="I18" s="13">
        <v>1098</v>
      </c>
      <c r="J18" s="13">
        <v>390</v>
      </c>
      <c r="K18" s="14">
        <f t="shared" si="2"/>
        <v>1488</v>
      </c>
    </row>
    <row r="19" spans="1:11" ht="15.75" customHeight="1" x14ac:dyDescent="0.25">
      <c r="A19" s="11">
        <v>12</v>
      </c>
      <c r="B19" s="12" t="s">
        <v>20</v>
      </c>
      <c r="C19" s="13">
        <v>2</v>
      </c>
      <c r="D19" s="13">
        <v>1</v>
      </c>
      <c r="E19" s="14">
        <f t="shared" si="0"/>
        <v>3</v>
      </c>
      <c r="F19" s="13">
        <v>76</v>
      </c>
      <c r="G19" s="13">
        <v>9</v>
      </c>
      <c r="H19" s="14">
        <f t="shared" si="1"/>
        <v>85</v>
      </c>
      <c r="I19" s="13">
        <v>1061</v>
      </c>
      <c r="J19" s="13">
        <v>106</v>
      </c>
      <c r="K19" s="14">
        <f t="shared" si="2"/>
        <v>1167</v>
      </c>
    </row>
    <row r="20" spans="1:11" ht="15.75" customHeight="1" x14ac:dyDescent="0.25">
      <c r="A20" s="11">
        <v>13</v>
      </c>
      <c r="B20" s="12" t="s">
        <v>21</v>
      </c>
      <c r="C20" s="13">
        <v>6</v>
      </c>
      <c r="D20" s="13">
        <v>1</v>
      </c>
      <c r="E20" s="14">
        <f t="shared" si="0"/>
        <v>7</v>
      </c>
      <c r="F20" s="13">
        <v>121</v>
      </c>
      <c r="G20" s="13">
        <v>10</v>
      </c>
      <c r="H20" s="14">
        <f t="shared" si="1"/>
        <v>131</v>
      </c>
      <c r="I20" s="13">
        <v>1982</v>
      </c>
      <c r="J20" s="13">
        <v>181</v>
      </c>
      <c r="K20" s="14">
        <f t="shared" si="2"/>
        <v>2163</v>
      </c>
    </row>
    <row r="21" spans="1:11" ht="15.75" customHeight="1" x14ac:dyDescent="0.25">
      <c r="A21" s="11">
        <v>14</v>
      </c>
      <c r="B21" s="12" t="s">
        <v>22</v>
      </c>
      <c r="C21" s="13">
        <v>3</v>
      </c>
      <c r="D21" s="13">
        <v>1</v>
      </c>
      <c r="E21" s="14">
        <f t="shared" si="0"/>
        <v>4</v>
      </c>
      <c r="F21" s="13">
        <v>51</v>
      </c>
      <c r="G21" s="13">
        <v>13</v>
      </c>
      <c r="H21" s="14">
        <f t="shared" si="1"/>
        <v>64</v>
      </c>
      <c r="I21" s="13">
        <v>970</v>
      </c>
      <c r="J21" s="13">
        <v>235</v>
      </c>
      <c r="K21" s="14">
        <f t="shared" si="2"/>
        <v>1205</v>
      </c>
    </row>
    <row r="22" spans="1:11" ht="15.75" customHeight="1" x14ac:dyDescent="0.25">
      <c r="A22" s="11">
        <v>15</v>
      </c>
      <c r="B22" s="12" t="s">
        <v>23</v>
      </c>
      <c r="C22" s="13">
        <v>5</v>
      </c>
      <c r="D22" s="13">
        <v>0</v>
      </c>
      <c r="E22" s="14">
        <f t="shared" si="0"/>
        <v>5</v>
      </c>
      <c r="F22" s="13">
        <v>76</v>
      </c>
      <c r="G22" s="13">
        <v>0</v>
      </c>
      <c r="H22" s="14">
        <f t="shared" si="1"/>
        <v>76</v>
      </c>
      <c r="I22" s="13">
        <v>1231</v>
      </c>
      <c r="J22" s="13">
        <v>0</v>
      </c>
      <c r="K22" s="14">
        <f t="shared" si="2"/>
        <v>1231</v>
      </c>
    </row>
    <row r="23" spans="1:11" ht="15.75" customHeight="1" x14ac:dyDescent="0.25">
      <c r="A23" s="11">
        <v>16</v>
      </c>
      <c r="B23" s="12" t="s">
        <v>24</v>
      </c>
      <c r="C23" s="13">
        <v>4</v>
      </c>
      <c r="D23" s="13">
        <v>1</v>
      </c>
      <c r="E23" s="14">
        <f t="shared" si="0"/>
        <v>5</v>
      </c>
      <c r="F23" s="13">
        <v>46</v>
      </c>
      <c r="G23" s="13">
        <v>11</v>
      </c>
      <c r="H23" s="14">
        <f t="shared" si="1"/>
        <v>57</v>
      </c>
      <c r="I23" s="13">
        <v>764</v>
      </c>
      <c r="J23" s="13">
        <v>190</v>
      </c>
      <c r="K23" s="14">
        <f t="shared" si="2"/>
        <v>954</v>
      </c>
    </row>
    <row r="24" spans="1:11" ht="15.75" customHeight="1" x14ac:dyDescent="0.25">
      <c r="A24" s="11">
        <v>17</v>
      </c>
      <c r="B24" s="12" t="s">
        <v>25</v>
      </c>
      <c r="C24" s="13">
        <v>2</v>
      </c>
      <c r="D24" s="13">
        <v>0</v>
      </c>
      <c r="E24" s="14">
        <f t="shared" si="0"/>
        <v>2</v>
      </c>
      <c r="F24" s="13">
        <v>31</v>
      </c>
      <c r="G24" s="13">
        <v>0</v>
      </c>
      <c r="H24" s="14">
        <f t="shared" si="1"/>
        <v>31</v>
      </c>
      <c r="I24" s="13">
        <v>475</v>
      </c>
      <c r="J24" s="13">
        <v>0</v>
      </c>
      <c r="K24" s="14">
        <f t="shared" si="2"/>
        <v>475</v>
      </c>
    </row>
    <row r="25" spans="1:11" ht="15.75" customHeight="1" x14ac:dyDescent="0.25">
      <c r="A25" s="11">
        <v>18</v>
      </c>
      <c r="B25" s="12" t="s">
        <v>26</v>
      </c>
      <c r="C25" s="13">
        <v>4</v>
      </c>
      <c r="D25" s="13">
        <v>0</v>
      </c>
      <c r="E25" s="14">
        <f t="shared" si="0"/>
        <v>4</v>
      </c>
      <c r="F25" s="13">
        <v>56</v>
      </c>
      <c r="G25" s="13">
        <v>0</v>
      </c>
      <c r="H25" s="14">
        <f t="shared" si="1"/>
        <v>56</v>
      </c>
      <c r="I25" s="13">
        <v>774</v>
      </c>
      <c r="J25" s="13">
        <v>0</v>
      </c>
      <c r="K25" s="14">
        <f t="shared" si="2"/>
        <v>774</v>
      </c>
    </row>
    <row r="26" spans="1:11" ht="15.75" customHeight="1" x14ac:dyDescent="0.25">
      <c r="A26" s="11">
        <v>19</v>
      </c>
      <c r="B26" s="12" t="s">
        <v>27</v>
      </c>
      <c r="C26" s="13">
        <v>6</v>
      </c>
      <c r="D26" s="13">
        <v>0</v>
      </c>
      <c r="E26" s="14">
        <f t="shared" si="0"/>
        <v>6</v>
      </c>
      <c r="F26" s="13">
        <v>86</v>
      </c>
      <c r="G26" s="13">
        <v>0</v>
      </c>
      <c r="H26" s="14">
        <f t="shared" si="1"/>
        <v>86</v>
      </c>
      <c r="I26" s="13">
        <v>1519</v>
      </c>
      <c r="J26" s="13">
        <v>0</v>
      </c>
      <c r="K26" s="14">
        <f t="shared" si="2"/>
        <v>1519</v>
      </c>
    </row>
    <row r="27" spans="1:11" ht="15.75" customHeight="1" x14ac:dyDescent="0.25">
      <c r="A27" s="11">
        <v>20</v>
      </c>
      <c r="B27" s="12" t="s">
        <v>28</v>
      </c>
      <c r="C27" s="13">
        <v>4</v>
      </c>
      <c r="D27" s="13">
        <v>0</v>
      </c>
      <c r="E27" s="14">
        <f t="shared" si="0"/>
        <v>4</v>
      </c>
      <c r="F27" s="13">
        <v>35</v>
      </c>
      <c r="G27" s="13">
        <v>0</v>
      </c>
      <c r="H27" s="14">
        <f t="shared" si="1"/>
        <v>35</v>
      </c>
      <c r="I27" s="13">
        <v>702</v>
      </c>
      <c r="J27" s="13">
        <v>0</v>
      </c>
      <c r="K27" s="14">
        <f t="shared" si="2"/>
        <v>702</v>
      </c>
    </row>
    <row r="28" spans="1:11" ht="15.75" customHeight="1" x14ac:dyDescent="0.25">
      <c r="A28" s="3" t="s">
        <v>8</v>
      </c>
      <c r="B28" s="5"/>
      <c r="C28" s="15">
        <v>75</v>
      </c>
      <c r="D28" s="15">
        <v>22</v>
      </c>
      <c r="E28" s="15">
        <v>97</v>
      </c>
      <c r="F28" s="15">
        <v>1593</v>
      </c>
      <c r="G28" s="15">
        <v>223</v>
      </c>
      <c r="H28" s="15">
        <v>1816</v>
      </c>
      <c r="I28" s="16">
        <v>26783</v>
      </c>
      <c r="J28" s="15">
        <v>2939</v>
      </c>
      <c r="K28" s="15">
        <v>29722</v>
      </c>
    </row>
    <row r="29" spans="1:11" ht="15.75" customHeight="1" x14ac:dyDescent="0.2">
      <c r="C29" s="17">
        <f>C28/E28</f>
        <v>0.77319587628865982</v>
      </c>
      <c r="F29" s="17">
        <f>F28/H28</f>
        <v>0.87720264317180618</v>
      </c>
      <c r="I29" s="17">
        <f>I28/K28</f>
        <v>0.90111701769732855</v>
      </c>
    </row>
    <row r="30" spans="1:11" ht="15.75" customHeight="1" x14ac:dyDescent="0.2">
      <c r="A30" s="18" t="s">
        <v>29</v>
      </c>
    </row>
    <row r="31" spans="1:11" ht="15.75" customHeight="1" x14ac:dyDescent="0.25">
      <c r="B31" s="19" t="s">
        <v>30</v>
      </c>
    </row>
    <row r="32" spans="1:11" ht="15.75" customHeight="1" x14ac:dyDescent="0.2"/>
    <row r="33" spans="1:2" ht="15.75" customHeight="1" x14ac:dyDescent="0.2">
      <c r="A33" s="18" t="s">
        <v>31</v>
      </c>
    </row>
    <row r="34" spans="1:2" ht="15.75" customHeight="1" x14ac:dyDescent="0.2">
      <c r="B34" s="18" t="s">
        <v>32</v>
      </c>
    </row>
    <row r="35" spans="1:2" ht="15.75" customHeight="1" x14ac:dyDescent="0.2"/>
    <row r="36" spans="1:2" ht="15.75" customHeight="1" x14ac:dyDescent="0.2"/>
    <row r="37" spans="1:2" ht="15.75" customHeight="1" x14ac:dyDescent="0.2"/>
    <row r="38" spans="1:2" ht="15.75" customHeight="1" x14ac:dyDescent="0.2"/>
    <row r="39" spans="1:2" ht="15.75" customHeight="1" x14ac:dyDescent="0.2"/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4.1.5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2025-05-16T03:44:33Z</dcterms:created>
  <dcterms:modified xsi:type="dcterms:W3CDTF">2025-05-16T03:45:43Z</dcterms:modified>
</cp:coreProperties>
</file>