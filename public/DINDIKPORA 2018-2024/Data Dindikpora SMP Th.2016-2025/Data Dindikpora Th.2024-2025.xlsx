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EL\DATA STATISTIK 2018-2024\02 DINDIKPORA 2018-2024\Data Dindikpora SMP Th.2016-2025\"/>
    </mc:Choice>
  </mc:AlternateContent>
  <xr:revisionPtr revIDLastSave="0" documentId="8_{0BB11A86-A8D9-4A55-84B9-8B638A50FC51}" xr6:coauthVersionLast="47" xr6:coauthVersionMax="47" xr10:uidLastSave="{00000000-0000-0000-0000-000000000000}"/>
  <bookViews>
    <workbookView xWindow="-120" yWindow="-120" windowWidth="20730" windowHeight="11160" xr2:uid="{C8F59D32-FC71-47DA-B40F-25C6F7EDD753}"/>
  </bookViews>
  <sheets>
    <sheet name="4.1.5 (KOR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1" l="1"/>
  <c r="I28" i="1"/>
  <c r="G28" i="1"/>
  <c r="F28" i="1"/>
  <c r="D28" i="1"/>
  <c r="C28" i="1"/>
  <c r="K27" i="1"/>
  <c r="H27" i="1"/>
  <c r="E27" i="1"/>
  <c r="K26" i="1"/>
  <c r="H26" i="1"/>
  <c r="E26" i="1"/>
  <c r="K25" i="1"/>
  <c r="H25" i="1"/>
  <c r="E25" i="1"/>
  <c r="K24" i="1"/>
  <c r="H24" i="1"/>
  <c r="E24" i="1"/>
  <c r="K23" i="1"/>
  <c r="H23" i="1"/>
  <c r="E23" i="1"/>
  <c r="K22" i="1"/>
  <c r="H22" i="1"/>
  <c r="E22" i="1"/>
  <c r="K21" i="1"/>
  <c r="H21" i="1"/>
  <c r="E21" i="1"/>
  <c r="K20" i="1"/>
  <c r="H20" i="1"/>
  <c r="E20" i="1"/>
  <c r="K19" i="1"/>
  <c r="H19" i="1"/>
  <c r="E19" i="1"/>
  <c r="K18" i="1"/>
  <c r="H18" i="1"/>
  <c r="E18" i="1"/>
  <c r="K17" i="1"/>
  <c r="H17" i="1"/>
  <c r="E17" i="1"/>
  <c r="K16" i="1"/>
  <c r="H16" i="1"/>
  <c r="E16" i="1"/>
  <c r="K15" i="1"/>
  <c r="H15" i="1"/>
  <c r="E15" i="1"/>
  <c r="K14" i="1"/>
  <c r="H14" i="1"/>
  <c r="E14" i="1"/>
  <c r="K13" i="1"/>
  <c r="H13" i="1"/>
  <c r="E13" i="1"/>
  <c r="K12" i="1"/>
  <c r="H12" i="1"/>
  <c r="E12" i="1"/>
  <c r="K11" i="1"/>
  <c r="H11" i="1"/>
  <c r="E11" i="1"/>
  <c r="K10" i="1"/>
  <c r="H10" i="1"/>
  <c r="E10" i="1"/>
  <c r="K9" i="1"/>
  <c r="H9" i="1"/>
  <c r="E9" i="1"/>
  <c r="K8" i="1"/>
  <c r="K28" i="1" s="1"/>
  <c r="H8" i="1"/>
  <c r="E8" i="1"/>
  <c r="E28" i="1" s="1"/>
  <c r="H28" i="1" l="1"/>
</calcChain>
</file>

<file path=xl/sharedStrings.xml><?xml version="1.0" encoding="utf-8"?>
<sst xmlns="http://schemas.openxmlformats.org/spreadsheetml/2006/main" count="40" uniqueCount="33">
  <si>
    <t>Tabel 4.1.5</t>
  </si>
  <si>
    <t>Tahun Ajaran 2024 /2025</t>
  </si>
  <si>
    <t>Sekolah</t>
  </si>
  <si>
    <t>Guru*)</t>
  </si>
  <si>
    <t>Murid</t>
  </si>
  <si>
    <t>Kecamatan</t>
  </si>
  <si>
    <t>Negeri</t>
  </si>
  <si>
    <t>Swasta</t>
  </si>
  <si>
    <t>Jumlah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</si>
  <si>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</si>
  <si>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</si>
  <si>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</si>
  <si>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</si>
  <si>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</si>
  <si>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</si>
  <si>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</si>
  <si>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</si>
  <si>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</si>
  <si>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</si>
  <si>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</si>
  <si>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</si>
  <si>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</si>
  <si>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</si>
  <si>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</si>
  <si>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</si>
  <si>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</si>
  <si>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</si>
  <si>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</si>
  <si>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</si>
  <si>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Catatan:</t>
  </si>
  <si>
    <t>*) Jumlah guru termasuk kepala sekolah dan guru</t>
  </si>
  <si>
    <t>Sumber:</t>
  </si>
  <si>
    <t>Dinas Pendidikan, Kepemudaan dan Olahraga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</si>
</sst>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(&quot;#&quot;)&quot;"/>
    <numFmt numFmtId="165" formatCode="#&quot;.&quot;"/>
    <numFmt numFmtId="166" formatCode="_(* #,##0_);_(* \(#,##0\);_(* &quot;-&quot;??_);_(@_)"/>
  </numFmts>
  <fonts count="9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sz val="10"/>
      <name val="Arial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66AE3D"/>
        <bgColor rgb="FF66AE3D"/>
      </patternFill>
    </fill>
    <fill>
      <patternFill patternType="solid">
        <fgColor rgb="FFA0C983"/>
        <bgColor rgb="FFA0C983"/>
      </patternFill>
    </fill>
    <fill>
      <patternFill patternType="solid">
        <fgColor rgb="FFDBEAD1"/>
        <bgColor rgb="FFDBEAD1"/>
      </patternFill>
    </fill>
    <fill>
      <patternFill patternType="solid">
        <fgColor rgb="FFECF4E6"/>
        <bgColor rgb="FFECF4E6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1" fillId="4" borderId="5" xfId="0" applyNumberFormat="1" applyFont="1" applyFill="1" applyBorder="1" applyAlignment="1">
      <alignment horizontal="center"/>
    </xf>
    <xf numFmtId="165" fontId="4" fillId="0" borderId="1" xfId="0" applyNumberFormat="1" applyFont="1" applyBorder="1"/>
    <xf numFmtId="0" fontId="4" fillId="0" borderId="3" xfId="0" applyFont="1" applyBorder="1"/>
    <xf numFmtId="3" fontId="4" fillId="5" borderId="4" xfId="0" applyNumberFormat="1" applyFont="1" applyFill="1" applyBorder="1" applyAlignment="1">
      <alignment horizontal="right"/>
    </xf>
    <xf numFmtId="3" fontId="4" fillId="5" borderId="3" xfId="0" applyNumberFormat="1" applyFont="1" applyFill="1" applyBorder="1" applyAlignment="1">
      <alignment horizontal="right"/>
    </xf>
    <xf numFmtId="3" fontId="6" fillId="5" borderId="3" xfId="0" applyNumberFormat="1" applyFont="1" applyFill="1" applyBorder="1" applyAlignment="1">
      <alignment horizontal="right"/>
    </xf>
    <xf numFmtId="0" fontId="6" fillId="5" borderId="3" xfId="0" applyFont="1" applyFill="1" applyBorder="1" applyAlignment="1">
      <alignment horizontal="right"/>
    </xf>
    <xf numFmtId="3" fontId="4" fillId="6" borderId="6" xfId="0" applyNumberFormat="1" applyFont="1" applyFill="1" applyBorder="1" applyAlignment="1">
      <alignment horizontal="right"/>
    </xf>
    <xf numFmtId="3" fontId="4" fillId="6" borderId="7" xfId="0" applyNumberFormat="1" applyFont="1" applyFill="1" applyBorder="1" applyAlignment="1">
      <alignment horizontal="right"/>
    </xf>
    <xf numFmtId="0" fontId="6" fillId="6" borderId="7" xfId="0" applyFont="1" applyFill="1" applyBorder="1" applyAlignment="1">
      <alignment horizontal="right"/>
    </xf>
    <xf numFmtId="3" fontId="4" fillId="5" borderId="6" xfId="0" applyNumberFormat="1" applyFont="1" applyFill="1" applyBorder="1" applyAlignment="1">
      <alignment horizontal="right"/>
    </xf>
    <xf numFmtId="3" fontId="4" fillId="5" borderId="7" xfId="0" applyNumberFormat="1" applyFont="1" applyFill="1" applyBorder="1" applyAlignment="1">
      <alignment horizontal="right"/>
    </xf>
    <xf numFmtId="0" fontId="6" fillId="5" borderId="7" xfId="0" applyFont="1" applyFill="1" applyBorder="1" applyAlignment="1">
      <alignment horizontal="right"/>
    </xf>
    <xf numFmtId="166" fontId="7" fillId="3" borderId="6" xfId="0" applyNumberFormat="1" applyFont="1" applyFill="1" applyBorder="1" applyAlignment="1">
      <alignment horizontal="right"/>
    </xf>
    <xf numFmtId="166" fontId="7" fillId="3" borderId="7" xfId="0" applyNumberFormat="1" applyFont="1" applyFill="1" applyBorder="1" applyAlignment="1">
      <alignment horizontal="right"/>
    </xf>
    <xf numFmtId="0" fontId="8" fillId="0" borderId="0" xfId="0" applyFont="1"/>
    <xf numFmtId="0" fontId="5" fillId="0" borderId="0" xfId="0" applyFont="1"/>
  </cellXfs>
  <cellStyles count="1">
    <cellStyle name="Normal" xfId="0" builtinId="0"/>
  </cellStyles>
  <dxfs count="2"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</dxfs>
  <tableStyles count="1" defaultTableStyle="TableStyleMedium2" defaultPivotStyle="PivotStyleLight16">
    <tableStyle name="4.1.5 (KOR)-style" pivot="0" count="2" xr9:uid="{BC43D2A8-9D60-4AF2-80C7-996203591241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55CE-2CA7-47E9-90CB-F92AE49F9889}">
  <sheetPr>
    <tabColor rgb="FFFF0000"/>
  </sheetPr>
  <dimension ref="A1:K1000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K16" sqref="K16:L16"/>
    </sheetView>
  </sheetViews>
  <sheetFormatPr defaultColWidth="12.5703125" defaultRowHeight="15" customHeight="1" x14ac:dyDescent="0.2"/>
  <cols>
    <col min="1" max="1" width="4.5703125" customWidth="1"/>
    <col min="2" max="2" width="19.42578125" customWidth="1"/>
    <col min="3" max="11" width="7.5703125" customWidth="1"/>
  </cols>
  <sheetData>
    <row r="1" spans="1:11" ht="15.75" customHeight="1" x14ac:dyDescent="0.25">
      <c r="A1" s="1" t="s">
        <v>0</v>
      </c>
      <c r="B1" s="1"/>
      <c r="C1" s="1"/>
      <c r="F1" s="1"/>
      <c r="G1" s="1"/>
      <c r="H1" s="1"/>
      <c r="I1" s="1"/>
      <c r="J1" s="1"/>
      <c r="K1" s="2"/>
    </row>
    <row r="2" spans="1:11" ht="15.75" customHeight="1" x14ac:dyDescent="0.25">
      <c r="A2" s="3"/>
      <c r="B2" s="3"/>
      <c r="C2" s="1"/>
      <c r="F2" s="1"/>
      <c r="G2" s="1"/>
      <c r="H2" s="1"/>
      <c r="I2" s="1"/>
      <c r="J2" s="1"/>
      <c r="K2" s="2"/>
    </row>
    <row r="3" spans="1:11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.75" customHeight="1" x14ac:dyDescent="0.25">
      <c r="A4" s="1"/>
      <c r="B4" s="1"/>
      <c r="C4" s="7" t="s">
        <v>1</v>
      </c>
      <c r="D4" s="5"/>
      <c r="E4" s="5"/>
      <c r="F4" s="5"/>
      <c r="G4" s="5"/>
      <c r="H4" s="5"/>
      <c r="I4" s="5"/>
      <c r="J4" s="5"/>
      <c r="K4" s="6"/>
    </row>
    <row r="5" spans="1:11" ht="15.75" customHeight="1" x14ac:dyDescent="0.25">
      <c r="A5" s="1"/>
      <c r="B5" s="1"/>
      <c r="C5" s="7" t="s">
        <v>2</v>
      </c>
      <c r="D5" s="5"/>
      <c r="E5" s="6"/>
      <c r="F5" s="8" t="s">
        <v>3</v>
      </c>
      <c r="G5" s="5"/>
      <c r="H5" s="6"/>
      <c r="I5" s="7" t="s">
        <v>4</v>
      </c>
      <c r="J5" s="5"/>
      <c r="K5" s="6"/>
    </row>
    <row r="6" spans="1:11" ht="15.75" customHeight="1" x14ac:dyDescent="0.2">
      <c r="A6" s="9" t="s">
        <v>5</v>
      </c>
      <c r="B6" s="6"/>
      <c r="C6" s="10" t="s">
        <v>6</v>
      </c>
      <c r="D6" s="10" t="s">
        <v>7</v>
      </c>
      <c r="E6" s="10" t="s">
        <v>8</v>
      </c>
      <c r="F6" s="10" t="s">
        <v>6</v>
      </c>
      <c r="G6" s="10" t="s">
        <v>7</v>
      </c>
      <c r="H6" s="10" t="s">
        <v>8</v>
      </c>
      <c r="I6" s="10" t="s">
        <v>6</v>
      </c>
      <c r="J6" s="10" t="s">
        <v>7</v>
      </c>
      <c r="K6" s="10" t="s">
        <v>8</v>
      </c>
    </row>
    <row r="7" spans="1:11" ht="15.75" customHeight="1" x14ac:dyDescent="0.25">
      <c r="A7" s="11">
        <v>1</v>
      </c>
      <c r="B7" s="6"/>
      <c r="C7" s="12">
        <v>2</v>
      </c>
      <c r="D7" s="12">
        <v>3</v>
      </c>
      <c r="E7" s="12">
        <v>4</v>
      </c>
      <c r="F7" s="12">
        <v>2</v>
      </c>
      <c r="G7" s="12">
        <v>3</v>
      </c>
      <c r="H7" s="12">
        <v>4</v>
      </c>
      <c r="I7" s="12">
        <v>2</v>
      </c>
      <c r="J7" s="12">
        <v>3</v>
      </c>
      <c r="K7" s="12">
        <v>4</v>
      </c>
    </row>
    <row r="8" spans="1:11" ht="15.75" customHeight="1" x14ac:dyDescent="0.25">
      <c r="A8" s="13">
        <v>1</v>
      </c>
      <c r="B8" s="14" t="s">
        <v>9</v>
      </c>
      <c r="C8" s="15">
        <v>4</v>
      </c>
      <c r="D8" s="16">
        <v>1</v>
      </c>
      <c r="E8" s="17">
        <f t="shared" ref="E8:E27" si="0">SUM(C8:D8)</f>
        <v>5</v>
      </c>
      <c r="F8" s="18">
        <v>86</v>
      </c>
      <c r="G8" s="18">
        <v>5</v>
      </c>
      <c r="H8" s="17">
        <f t="shared" ref="H8:H27" si="1">SUM(F8:G8)</f>
        <v>91</v>
      </c>
      <c r="I8" s="18">
        <v>3281</v>
      </c>
      <c r="J8" s="18">
        <v>345</v>
      </c>
      <c r="K8" s="17">
        <f t="shared" ref="K8:K27" si="2">SUM(I8:J8)</f>
        <v>3626</v>
      </c>
    </row>
    <row r="9" spans="1:11" ht="15.75" customHeight="1" x14ac:dyDescent="0.25">
      <c r="A9" s="13">
        <v>2</v>
      </c>
      <c r="B9" s="14" t="s">
        <v>10</v>
      </c>
      <c r="C9" s="19">
        <v>3</v>
      </c>
      <c r="D9" s="20">
        <v>3</v>
      </c>
      <c r="E9" s="17">
        <f t="shared" si="0"/>
        <v>6</v>
      </c>
      <c r="F9" s="21">
        <v>69</v>
      </c>
      <c r="G9" s="21">
        <v>19</v>
      </c>
      <c r="H9" s="17">
        <f t="shared" si="1"/>
        <v>88</v>
      </c>
      <c r="I9" s="21">
        <v>3351</v>
      </c>
      <c r="J9" s="21">
        <v>586</v>
      </c>
      <c r="K9" s="17">
        <f t="shared" si="2"/>
        <v>3937</v>
      </c>
    </row>
    <row r="10" spans="1:11" ht="15.75" customHeight="1" x14ac:dyDescent="0.25">
      <c r="A10" s="13">
        <v>3</v>
      </c>
      <c r="B10" s="14" t="s">
        <v>11</v>
      </c>
      <c r="C10" s="22">
        <v>4</v>
      </c>
      <c r="D10" s="23">
        <v>3</v>
      </c>
      <c r="E10" s="17">
        <f t="shared" si="0"/>
        <v>7</v>
      </c>
      <c r="F10" s="24">
        <v>97</v>
      </c>
      <c r="G10" s="24">
        <v>13</v>
      </c>
      <c r="H10" s="17">
        <f t="shared" si="1"/>
        <v>110</v>
      </c>
      <c r="I10" s="24">
        <v>6728</v>
      </c>
      <c r="J10" s="24">
        <v>576</v>
      </c>
      <c r="K10" s="17">
        <f t="shared" si="2"/>
        <v>7304</v>
      </c>
    </row>
    <row r="11" spans="1:11" ht="15.75" customHeight="1" x14ac:dyDescent="0.25">
      <c r="A11" s="13">
        <v>4</v>
      </c>
      <c r="B11" s="14" t="s">
        <v>12</v>
      </c>
      <c r="C11" s="19">
        <v>6</v>
      </c>
      <c r="D11" s="20">
        <v>0</v>
      </c>
      <c r="E11" s="17">
        <f t="shared" si="0"/>
        <v>6</v>
      </c>
      <c r="F11" s="21">
        <v>92</v>
      </c>
      <c r="G11" s="21">
        <v>0</v>
      </c>
      <c r="H11" s="17">
        <f t="shared" si="1"/>
        <v>92</v>
      </c>
      <c r="I11" s="21">
        <v>4693</v>
      </c>
      <c r="J11" s="21">
        <v>443</v>
      </c>
      <c r="K11" s="17">
        <f t="shared" si="2"/>
        <v>5136</v>
      </c>
    </row>
    <row r="12" spans="1:11" ht="15.75" customHeight="1" x14ac:dyDescent="0.25">
      <c r="A12" s="13">
        <v>5</v>
      </c>
      <c r="B12" s="14" t="s">
        <v>13</v>
      </c>
      <c r="C12" s="22">
        <v>5</v>
      </c>
      <c r="D12" s="23">
        <v>0</v>
      </c>
      <c r="E12" s="17">
        <f t="shared" si="0"/>
        <v>5</v>
      </c>
      <c r="F12" s="24">
        <v>105</v>
      </c>
      <c r="G12" s="24">
        <v>0</v>
      </c>
      <c r="H12" s="17">
        <f t="shared" si="1"/>
        <v>105</v>
      </c>
      <c r="I12" s="24">
        <v>5331</v>
      </c>
      <c r="J12" s="24">
        <v>528</v>
      </c>
      <c r="K12" s="17">
        <f t="shared" si="2"/>
        <v>5859</v>
      </c>
    </row>
    <row r="13" spans="1:11" ht="15.75" customHeight="1" x14ac:dyDescent="0.25">
      <c r="A13" s="13">
        <v>6</v>
      </c>
      <c r="B13" s="14" t="s">
        <v>14</v>
      </c>
      <c r="C13" s="19">
        <v>5</v>
      </c>
      <c r="D13" s="20">
        <v>6</v>
      </c>
      <c r="E13" s="17">
        <f t="shared" si="0"/>
        <v>11</v>
      </c>
      <c r="F13" s="21">
        <v>108</v>
      </c>
      <c r="G13" s="21">
        <v>24</v>
      </c>
      <c r="H13" s="17">
        <f t="shared" si="1"/>
        <v>132</v>
      </c>
      <c r="I13" s="21">
        <v>4839</v>
      </c>
      <c r="J13" s="21">
        <v>1044</v>
      </c>
      <c r="K13" s="17">
        <f t="shared" si="2"/>
        <v>5883</v>
      </c>
    </row>
    <row r="14" spans="1:11" ht="15.75" customHeight="1" x14ac:dyDescent="0.25">
      <c r="A14" s="13">
        <v>7</v>
      </c>
      <c r="B14" s="14" t="s">
        <v>15</v>
      </c>
      <c r="C14" s="22">
        <v>3</v>
      </c>
      <c r="D14" s="23">
        <v>1</v>
      </c>
      <c r="E14" s="17">
        <f t="shared" si="0"/>
        <v>4</v>
      </c>
      <c r="F14" s="24">
        <v>36</v>
      </c>
      <c r="G14" s="24">
        <v>2</v>
      </c>
      <c r="H14" s="17">
        <f t="shared" si="1"/>
        <v>38</v>
      </c>
      <c r="I14" s="24">
        <v>2029</v>
      </c>
      <c r="J14" s="24">
        <v>512</v>
      </c>
      <c r="K14" s="17">
        <f t="shared" si="2"/>
        <v>2541</v>
      </c>
    </row>
    <row r="15" spans="1:11" ht="15.75" customHeight="1" x14ac:dyDescent="0.25">
      <c r="A15" s="13">
        <v>8</v>
      </c>
      <c r="B15" s="14" t="s">
        <v>16</v>
      </c>
      <c r="C15" s="19">
        <v>2</v>
      </c>
      <c r="D15" s="20">
        <v>0</v>
      </c>
      <c r="E15" s="17">
        <f t="shared" si="0"/>
        <v>2</v>
      </c>
      <c r="F15" s="21">
        <v>28</v>
      </c>
      <c r="G15" s="21">
        <v>0</v>
      </c>
      <c r="H15" s="17">
        <f t="shared" si="1"/>
        <v>28</v>
      </c>
      <c r="I15" s="21">
        <v>2133</v>
      </c>
      <c r="J15" s="21">
        <v>209</v>
      </c>
      <c r="K15" s="17">
        <f t="shared" si="2"/>
        <v>2342</v>
      </c>
    </row>
    <row r="16" spans="1:11" ht="15.75" customHeight="1" x14ac:dyDescent="0.25">
      <c r="A16" s="13">
        <v>9</v>
      </c>
      <c r="B16" s="14" t="s">
        <v>17</v>
      </c>
      <c r="C16" s="22">
        <v>3</v>
      </c>
      <c r="D16" s="23">
        <v>2</v>
      </c>
      <c r="E16" s="17">
        <f t="shared" si="0"/>
        <v>5</v>
      </c>
      <c r="F16" s="24">
        <v>46</v>
      </c>
      <c r="G16" s="24">
        <v>17</v>
      </c>
      <c r="H16" s="17">
        <f t="shared" si="1"/>
        <v>63</v>
      </c>
      <c r="I16" s="24">
        <v>2490</v>
      </c>
      <c r="J16" s="24">
        <v>858</v>
      </c>
      <c r="K16" s="17">
        <f t="shared" si="2"/>
        <v>3348</v>
      </c>
    </row>
    <row r="17" spans="1:11" ht="15.75" customHeight="1" x14ac:dyDescent="0.25">
      <c r="A17" s="13">
        <v>10</v>
      </c>
      <c r="B17" s="14" t="s">
        <v>18</v>
      </c>
      <c r="C17" s="19">
        <v>2</v>
      </c>
      <c r="D17" s="20">
        <v>2</v>
      </c>
      <c r="E17" s="17">
        <f t="shared" si="0"/>
        <v>4</v>
      </c>
      <c r="F17" s="21">
        <v>41</v>
      </c>
      <c r="G17" s="21">
        <v>5</v>
      </c>
      <c r="H17" s="17">
        <f t="shared" si="1"/>
        <v>46</v>
      </c>
      <c r="I17" s="21">
        <v>2963</v>
      </c>
      <c r="J17" s="21">
        <v>780</v>
      </c>
      <c r="K17" s="17">
        <f t="shared" si="2"/>
        <v>3743</v>
      </c>
    </row>
    <row r="18" spans="1:11" ht="15.75" customHeight="1" x14ac:dyDescent="0.25">
      <c r="A18" s="13">
        <v>11</v>
      </c>
      <c r="B18" s="14" t="s">
        <v>19</v>
      </c>
      <c r="C18" s="22">
        <v>2</v>
      </c>
      <c r="D18" s="23">
        <v>2</v>
      </c>
      <c r="E18" s="17">
        <f t="shared" si="0"/>
        <v>4</v>
      </c>
      <c r="F18" s="24">
        <v>53</v>
      </c>
      <c r="G18" s="24">
        <v>13</v>
      </c>
      <c r="H18" s="17">
        <f t="shared" si="1"/>
        <v>66</v>
      </c>
      <c r="I18" s="24">
        <v>2721</v>
      </c>
      <c r="J18" s="24">
        <v>623</v>
      </c>
      <c r="K18" s="17">
        <f t="shared" si="2"/>
        <v>3344</v>
      </c>
    </row>
    <row r="19" spans="1:11" ht="15.75" customHeight="1" x14ac:dyDescent="0.25">
      <c r="A19" s="13">
        <v>12</v>
      </c>
      <c r="B19" s="14" t="s">
        <v>20</v>
      </c>
      <c r="C19" s="19">
        <v>2</v>
      </c>
      <c r="D19" s="20">
        <v>1</v>
      </c>
      <c r="E19" s="17">
        <f t="shared" si="0"/>
        <v>3</v>
      </c>
      <c r="F19" s="21">
        <v>38</v>
      </c>
      <c r="G19" s="21">
        <v>11</v>
      </c>
      <c r="H19" s="17">
        <f t="shared" si="1"/>
        <v>49</v>
      </c>
      <c r="I19" s="21">
        <v>2335</v>
      </c>
      <c r="J19" s="21">
        <v>240</v>
      </c>
      <c r="K19" s="17">
        <f t="shared" si="2"/>
        <v>2575</v>
      </c>
    </row>
    <row r="20" spans="1:11" ht="15.75" customHeight="1" x14ac:dyDescent="0.25">
      <c r="A20" s="13">
        <v>13</v>
      </c>
      <c r="B20" s="14" t="s">
        <v>21</v>
      </c>
      <c r="C20" s="22">
        <v>6</v>
      </c>
      <c r="D20" s="23">
        <v>1</v>
      </c>
      <c r="E20" s="17">
        <f t="shared" si="0"/>
        <v>7</v>
      </c>
      <c r="F20" s="24">
        <v>95</v>
      </c>
      <c r="G20" s="24">
        <v>1</v>
      </c>
      <c r="H20" s="17">
        <f t="shared" si="1"/>
        <v>96</v>
      </c>
      <c r="I20" s="24">
        <v>5349</v>
      </c>
      <c r="J20" s="24">
        <v>870</v>
      </c>
      <c r="K20" s="17">
        <f t="shared" si="2"/>
        <v>6219</v>
      </c>
    </row>
    <row r="21" spans="1:11" ht="15.75" customHeight="1" x14ac:dyDescent="0.25">
      <c r="A21" s="13">
        <v>14</v>
      </c>
      <c r="B21" s="14" t="s">
        <v>22</v>
      </c>
      <c r="C21" s="19">
        <v>3</v>
      </c>
      <c r="D21" s="20">
        <v>1</v>
      </c>
      <c r="E21" s="17">
        <f t="shared" si="0"/>
        <v>4</v>
      </c>
      <c r="F21" s="21">
        <v>36</v>
      </c>
      <c r="G21" s="21">
        <v>7</v>
      </c>
      <c r="H21" s="17">
        <f t="shared" si="1"/>
        <v>43</v>
      </c>
      <c r="I21" s="21">
        <v>2031</v>
      </c>
      <c r="J21" s="21">
        <v>416</v>
      </c>
      <c r="K21" s="17">
        <f t="shared" si="2"/>
        <v>2447</v>
      </c>
    </row>
    <row r="22" spans="1:11" ht="15.75" customHeight="1" x14ac:dyDescent="0.25">
      <c r="A22" s="13">
        <v>15</v>
      </c>
      <c r="B22" s="14" t="s">
        <v>23</v>
      </c>
      <c r="C22" s="22">
        <v>5</v>
      </c>
      <c r="D22" s="23">
        <v>0</v>
      </c>
      <c r="E22" s="17">
        <f t="shared" si="0"/>
        <v>5</v>
      </c>
      <c r="F22" s="24">
        <v>57</v>
      </c>
      <c r="G22" s="24">
        <v>0</v>
      </c>
      <c r="H22" s="17">
        <f t="shared" si="1"/>
        <v>57</v>
      </c>
      <c r="I22" s="24">
        <v>2697</v>
      </c>
      <c r="J22" s="24">
        <v>449</v>
      </c>
      <c r="K22" s="17">
        <f t="shared" si="2"/>
        <v>3146</v>
      </c>
    </row>
    <row r="23" spans="1:11" ht="15.75" customHeight="1" x14ac:dyDescent="0.25">
      <c r="A23" s="13">
        <v>16</v>
      </c>
      <c r="B23" s="14" t="s">
        <v>24</v>
      </c>
      <c r="C23" s="19">
        <v>4</v>
      </c>
      <c r="D23" s="20">
        <v>1</v>
      </c>
      <c r="E23" s="17">
        <f t="shared" si="0"/>
        <v>5</v>
      </c>
      <c r="F23" s="21">
        <v>36</v>
      </c>
      <c r="G23" s="21">
        <v>6</v>
      </c>
      <c r="H23" s="17">
        <f t="shared" si="1"/>
        <v>42</v>
      </c>
      <c r="I23" s="21">
        <v>1620</v>
      </c>
      <c r="J23" s="21">
        <v>923</v>
      </c>
      <c r="K23" s="17">
        <f t="shared" si="2"/>
        <v>2543</v>
      </c>
    </row>
    <row r="24" spans="1:11" ht="15.75" customHeight="1" x14ac:dyDescent="0.25">
      <c r="A24" s="13">
        <v>17</v>
      </c>
      <c r="B24" s="14" t="s">
        <v>25</v>
      </c>
      <c r="C24" s="22">
        <v>2</v>
      </c>
      <c r="D24" s="23">
        <v>0</v>
      </c>
      <c r="E24" s="17">
        <f t="shared" si="0"/>
        <v>2</v>
      </c>
      <c r="F24" s="24">
        <v>21</v>
      </c>
      <c r="G24" s="24">
        <v>0</v>
      </c>
      <c r="H24" s="17">
        <f t="shared" si="1"/>
        <v>21</v>
      </c>
      <c r="I24" s="24">
        <v>1079</v>
      </c>
      <c r="J24" s="24">
        <v>1341</v>
      </c>
      <c r="K24" s="17">
        <f t="shared" si="2"/>
        <v>2420</v>
      </c>
    </row>
    <row r="25" spans="1:11" ht="15.75" customHeight="1" x14ac:dyDescent="0.25">
      <c r="A25" s="13">
        <v>18</v>
      </c>
      <c r="B25" s="14" t="s">
        <v>26</v>
      </c>
      <c r="C25" s="19">
        <v>4</v>
      </c>
      <c r="D25" s="20">
        <v>0</v>
      </c>
      <c r="E25" s="17">
        <f t="shared" si="0"/>
        <v>4</v>
      </c>
      <c r="F25" s="21">
        <v>29</v>
      </c>
      <c r="G25" s="21">
        <v>0</v>
      </c>
      <c r="H25" s="17">
        <f t="shared" si="1"/>
        <v>29</v>
      </c>
      <c r="I25" s="21">
        <v>1873</v>
      </c>
      <c r="J25" s="21">
        <v>669</v>
      </c>
      <c r="K25" s="17">
        <f t="shared" si="2"/>
        <v>2542</v>
      </c>
    </row>
    <row r="26" spans="1:11" ht="15.75" customHeight="1" x14ac:dyDescent="0.25">
      <c r="A26" s="13">
        <v>19</v>
      </c>
      <c r="B26" s="14" t="s">
        <v>27</v>
      </c>
      <c r="C26" s="22">
        <v>6</v>
      </c>
      <c r="D26" s="23">
        <v>1</v>
      </c>
      <c r="E26" s="17">
        <f t="shared" si="0"/>
        <v>7</v>
      </c>
      <c r="F26" s="24">
        <v>68</v>
      </c>
      <c r="G26" s="24">
        <v>3</v>
      </c>
      <c r="H26" s="17">
        <f t="shared" si="1"/>
        <v>71</v>
      </c>
      <c r="I26" s="24">
        <v>3546</v>
      </c>
      <c r="J26" s="24">
        <v>340</v>
      </c>
      <c r="K26" s="17">
        <f t="shared" si="2"/>
        <v>3886</v>
      </c>
    </row>
    <row r="27" spans="1:11" ht="15.75" customHeight="1" x14ac:dyDescent="0.25">
      <c r="A27" s="13">
        <v>20</v>
      </c>
      <c r="B27" s="14" t="s">
        <v>28</v>
      </c>
      <c r="C27" s="19">
        <v>4</v>
      </c>
      <c r="D27" s="20">
        <v>0</v>
      </c>
      <c r="E27" s="17">
        <f t="shared" si="0"/>
        <v>4</v>
      </c>
      <c r="F27" s="21">
        <v>30</v>
      </c>
      <c r="G27" s="21">
        <v>0</v>
      </c>
      <c r="H27" s="17">
        <f t="shared" si="1"/>
        <v>30</v>
      </c>
      <c r="I27" s="21">
        <v>1568</v>
      </c>
      <c r="J27" s="21">
        <v>104</v>
      </c>
      <c r="K27" s="17">
        <f t="shared" si="2"/>
        <v>1672</v>
      </c>
    </row>
    <row r="28" spans="1:11" ht="15.75" customHeight="1" x14ac:dyDescent="0.25">
      <c r="A28" s="4" t="s">
        <v>8</v>
      </c>
      <c r="B28" s="6"/>
      <c r="C28" s="25">
        <f t="shared" ref="C28:K28" si="3">SUM(C8:C27)</f>
        <v>75</v>
      </c>
      <c r="D28" s="26">
        <f t="shared" si="3"/>
        <v>25</v>
      </c>
      <c r="E28" s="26">
        <f t="shared" si="3"/>
        <v>100</v>
      </c>
      <c r="F28" s="26">
        <f t="shared" si="3"/>
        <v>1171</v>
      </c>
      <c r="G28" s="26">
        <f t="shared" si="3"/>
        <v>126</v>
      </c>
      <c r="H28" s="26">
        <f t="shared" si="3"/>
        <v>1297</v>
      </c>
      <c r="I28" s="26">
        <f t="shared" si="3"/>
        <v>62657</v>
      </c>
      <c r="J28" s="26">
        <f t="shared" si="3"/>
        <v>11856</v>
      </c>
      <c r="K28" s="26">
        <f t="shared" si="3"/>
        <v>74513</v>
      </c>
    </row>
    <row r="29" spans="1:11" ht="15.75" customHeight="1" x14ac:dyDescent="0.2"/>
    <row r="30" spans="1:11" ht="15.75" customHeight="1" x14ac:dyDescent="0.2">
      <c r="A30" s="27" t="s">
        <v>29</v>
      </c>
    </row>
    <row r="31" spans="1:11" ht="15.75" customHeight="1" x14ac:dyDescent="0.25">
      <c r="B31" s="28" t="s">
        <v>30</v>
      </c>
    </row>
    <row r="32" spans="1:11" ht="15.75" customHeight="1" x14ac:dyDescent="0.2"/>
    <row r="33" spans="1:2" ht="15.75" customHeight="1" x14ac:dyDescent="0.2">
      <c r="A33" s="27" t="s">
        <v>31</v>
      </c>
    </row>
    <row r="34" spans="1:2" ht="15.75" customHeight="1" x14ac:dyDescent="0.2">
      <c r="B34" s="27" t="s">
        <v>32</v>
      </c>
    </row>
    <row r="35" spans="1:2" ht="15.75" customHeight="1" x14ac:dyDescent="0.2"/>
    <row r="36" spans="1:2" ht="15.75" customHeight="1" x14ac:dyDescent="0.2"/>
    <row r="37" spans="1:2" ht="15.75" customHeight="1" x14ac:dyDescent="0.2"/>
    <row r="38" spans="1:2" ht="15.75" customHeight="1" x14ac:dyDescent="0.2"/>
    <row r="39" spans="1:2" ht="15.75" customHeight="1" x14ac:dyDescent="0.2"/>
    <row r="40" spans="1:2" ht="15.75" customHeight="1" x14ac:dyDescent="0.2"/>
    <row r="41" spans="1:2" ht="15.75" customHeight="1" x14ac:dyDescent="0.2"/>
    <row r="42" spans="1:2" ht="15.75" customHeight="1" x14ac:dyDescent="0.2"/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F5:H5"/>
    <mergeCell ref="I5:K5"/>
    <mergeCell ref="A6:B6"/>
    <mergeCell ref="A7:B7"/>
    <mergeCell ref="A28:B28"/>
    <mergeCell ref="C5:E5"/>
    <mergeCell ref="C4:K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4.1.5 (KOR)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2025-05-16T03:51:48Z</dcterms:created>
  <dcterms:modified xsi:type="dcterms:W3CDTF">2025-05-16T03:52:34Z</dcterms:modified>
</cp:coreProperties>
</file>